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Downloads\"/>
    </mc:Choice>
  </mc:AlternateContent>
  <xr:revisionPtr revIDLastSave="0" documentId="13_ncr:1_{6BF86010-F375-4174-BFC9-591E6C0B16CA}" xr6:coauthVersionLast="47" xr6:coauthVersionMax="47" xr10:uidLastSave="{00000000-0000-0000-0000-000000000000}"/>
  <bookViews>
    <workbookView xWindow="-108" yWindow="-108" windowWidth="23256" windowHeight="12456" activeTab="3" xr2:uid="{2C8B4837-2E42-4BB2-831F-2C6C2610979D}"/>
  </bookViews>
  <sheets>
    <sheet name="Simple" sheetId="1" r:id="rId1"/>
    <sheet name="IterateRounds" sheetId="2" r:id="rId2"/>
    <sheet name="IterateUntilUndetectable" sheetId="3" r:id="rId3"/>
    <sheet name="ConcToK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3" l="1" a="1"/>
  <c r="C17" i="3"/>
  <c r="C16" i="5"/>
  <c r="C16" i="1" a="1"/>
  <c r="C17" i="2" a="1"/>
  <c r="C17" i="2" l="1"/>
  <c r="C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<sst xmlns="http://schemas.openxmlformats.org/spreadsheetml/2006/main" count="60" uniqueCount="18">
  <si>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</si>
  <si>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t>Complex</t>
  </si>
  <si>
    <t>µM</t>
  </si>
  <si>
    <t>Recover efficiency</t>
  </si>
  <si>
    <t>%</t>
  </si>
  <si>
    <t>Number of rounds</t>
  </si>
  <si>
    <t>A value of 100 here assumes a 100 % recovery efficiency, and that no compound is retained on the column or other aparatus.</t>
  </si>
  <si>
    <t>Detection limit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</si>
  <si>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Protein concentration</t>
    </r>
  </si>
  <si>
    <r>
      <t>L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Ligand concentration</t>
    </r>
  </si>
  <si>
    <t>PL - or L in elutant</t>
  </si>
  <si>
    <t>Complex amount - the same as ligand concentration detected after the pbSEC run.</t>
  </si>
  <si>
    <t>Lower bound for the detection limit of the ligand.  When ligand falls bellow this value on an iteration, iteration halts.</t>
  </si>
  <si>
    <t>Number of pbSEC iterations which produce a detectable ligand.</t>
  </si>
  <si>
    <t>Affinity as the dissociation constant.</t>
  </si>
  <si>
    <t>Total ligand concentration.</t>
  </si>
  <si>
    <t>Total protein concentration.</t>
  </si>
  <si>
    <t>How many iterations of pbSEC.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</si>
</sst>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7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A6444D-2BA3-447D-BA97-37760B0875CF}"/>
            </a:ext>
          </a:extLst>
        </xdr:cNvPr>
        <xdr:cNvSpPr txBox="1"/>
      </xdr:nvSpPr>
      <xdr:spPr>
        <a:xfrm>
          <a:off x="10886" y="10886"/>
          <a:ext cx="8658808" cy="2072952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'Simple' sheet.</a:t>
          </a:r>
        </a:p>
        <a:p>
          <a:pPr algn="l"/>
          <a:r>
            <a:rPr lang="en-GB" sz="1100" b="0" u="none" baseline="0"/>
            <a:t>Performs a simple 1 round pbSEC run.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'Complex' readout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F9AD8F-938C-47D2-812F-60EFCE0E8F28}"/>
            </a:ext>
          </a:extLst>
        </xdr:cNvPr>
        <xdr:cNvSpPr txBox="1"/>
      </xdr:nvSpPr>
      <xdr:spPr>
        <a:xfrm>
          <a:off x="10886" y="10886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'IterateRounds' sheet.</a:t>
          </a:r>
        </a:p>
        <a:p>
          <a:pPr algn="l"/>
          <a:r>
            <a:rPr lang="en-GB" sz="1100" b="0" u="none" baseline="0"/>
            <a:t>Simulates multple iterative runs of pbSEC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r>
            <a:rPr lang="en-GB" sz="1100" b="0" u="none" baseline="0"/>
            <a:t>'Complex' readout is analogous to the amount of recovered compound.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21771</xdr:colOff>
      <xdr:row>0</xdr:row>
      <xdr:rowOff>21772</xdr:rowOff>
    </xdr:from>
    <xdr:to>
      <xdr:col>12</xdr:col>
      <xdr:colOff>150845</xdr:colOff>
      <xdr:row>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A90E91-C90A-49CD-860A-95DAA0385C70}"/>
            </a:ext>
          </a:extLst>
        </xdr:cNvPr>
        <xdr:cNvSpPr txBox="1"/>
      </xdr:nvSpPr>
      <xdr:spPr>
        <a:xfrm>
          <a:off x="21771" y="21772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'IterateUntilUndetecatble' sheet.</a:t>
          </a:r>
        </a:p>
        <a:p>
          <a:pPr algn="l"/>
          <a:r>
            <a:rPr lang="en-GB" sz="1100" b="0" u="none" baseline="0"/>
            <a:t>Simulates multple iterative runs of pbSEC until the compound is no longer detectable and outputs the number of rounds it was detectable for.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CB1205-AFDB-4899-860A-670DFEA12D27}"/>
            </a:ext>
          </a:extLst>
        </xdr:cNvPr>
        <xdr:cNvSpPr txBox="1"/>
      </xdr:nvSpPr>
      <xdr:spPr>
        <a:xfrm>
          <a:off x="10886" y="10886"/>
          <a:ext cx="11553631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'ConcToKD' sheet.</a:t>
          </a:r>
        </a:p>
        <a:p>
          <a:pPr algn="l"/>
          <a:r>
            <a:rPr lang="en-GB" sz="1100" b="0" u="none" baseline="0"/>
            <a:t>Performs calculation of K</a:t>
          </a:r>
          <a:r>
            <a:rPr lang="en-GB" sz="1100" b="0" u="none" baseline="-25000"/>
            <a:t>D</a:t>
          </a:r>
          <a:r>
            <a:rPr lang="en-GB" sz="1100" b="0" u="none" baseline="0"/>
            <a:t> from observed complex (or in the case of pbSEC- observed ligand conc after a pbSEC run)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'PL- or L in elutant'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F9B5B-0001-4DE3-8768-034A56751CB6}">
  <sheetPr codeName="Sheet1"/>
  <dimension ref="B11:E16"/>
  <sheetViews>
    <sheetView zoomScaleNormal="100" workbookViewId="0">
      <selection activeCell="C13" sqref="C13"/>
    </sheetView>
  </sheetViews>
  <sheetFormatPr defaultRowHeight="17.55" customHeight="1" x14ac:dyDescent="0.3"/>
  <cols>
    <col min="1" max="1" width="8.88671875" customWidth="1"/>
    <col min="2" max="2" width="21.21875" bestFit="1" customWidth="1"/>
    <col min="5" max="5" width="50.5546875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1</v>
      </c>
      <c r="D14" s="6" t="s">
        <v>2</v>
      </c>
      <c r="E14" t="s">
        <v>14</v>
      </c>
    </row>
    <row r="15" spans="2:5" ht="17.55" customHeight="1" thickBot="1" x14ac:dyDescent="0.35">
      <c r="B15" s="7" t="s">
        <v>3</v>
      </c>
      <c r="C15" s="10">
        <v>100</v>
      </c>
      <c r="D15" s="9" t="s">
        <v>4</v>
      </c>
      <c r="E15" t="s">
        <v>6</v>
      </c>
    </row>
    <row r="16" spans="2:5" ht="17.55" customHeight="1" thickBot="1" x14ac:dyDescent="0.35">
      <c r="B16" s="7" t="s">
        <v>1</v>
      </c>
      <c r="C16" s="8" cm="1">
        <f t="array" ref="C16">PBSEC(C12,C13,C14,C15)</f>
        <v>6.2984378812835757</v>
      </c>
      <c r="D16" s="9" t="s">
        <v>2</v>
      </c>
      <c r="E16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AE7F-2FEE-471B-8204-861D5065FF64}">
  <sheetPr codeName="Sheet2"/>
  <dimension ref="B11:E17"/>
  <sheetViews>
    <sheetView zoomScaleNormal="100" workbookViewId="0">
      <selection activeCell="E12" sqref="E12"/>
    </sheetView>
  </sheetViews>
  <sheetFormatPr defaultRowHeight="17.55" customHeight="1" x14ac:dyDescent="0.3"/>
  <cols>
    <col min="1" max="1" width="8.88671875" customWidth="1"/>
    <col min="2" max="2" width="21.21875" bestFit="1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1</v>
      </c>
      <c r="D14" s="6" t="s">
        <v>2</v>
      </c>
      <c r="E14" t="s">
        <v>14</v>
      </c>
    </row>
    <row r="15" spans="2:5" ht="17.55" customHeight="1" x14ac:dyDescent="0.3">
      <c r="B15" s="4" t="s">
        <v>3</v>
      </c>
      <c r="C15" s="5">
        <v>100</v>
      </c>
      <c r="D15" s="6" t="s">
        <v>4</v>
      </c>
      <c r="E15" t="s">
        <v>6</v>
      </c>
    </row>
    <row r="16" spans="2:5" ht="17.55" customHeight="1" thickBot="1" x14ac:dyDescent="0.35">
      <c r="B16" s="7" t="s">
        <v>5</v>
      </c>
      <c r="C16" s="10">
        <v>5</v>
      </c>
      <c r="D16" s="9"/>
      <c r="E16" t="s">
        <v>17</v>
      </c>
    </row>
    <row r="17" spans="2:5" ht="17.55" customHeight="1" thickBot="1" x14ac:dyDescent="0.35">
      <c r="B17" s="11" t="s">
        <v>1</v>
      </c>
      <c r="C17" s="12" cm="1">
        <f t="array" ref="C17">pbSECIterative(C12,C13,C14,C15,C16)</f>
        <v>3.3099250805192488</v>
      </c>
      <c r="D17" s="13" t="s">
        <v>2</v>
      </c>
      <c r="E17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F219-1803-4A58-B0E7-ECF42D5CC0DB}">
  <sheetPr codeName="Sheet3"/>
  <dimension ref="B11:E17"/>
  <sheetViews>
    <sheetView topLeftCell="A4" zoomScaleNormal="100" workbookViewId="0">
      <selection activeCell="F16" sqref="F16"/>
    </sheetView>
  </sheetViews>
  <sheetFormatPr defaultRowHeight="17.55" customHeight="1" x14ac:dyDescent="0.3"/>
  <cols>
    <col min="1" max="1" width="8.88671875" customWidth="1"/>
    <col min="2" max="2" width="21.21875" bestFit="1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200</v>
      </c>
      <c r="D14" s="6" t="s">
        <v>2</v>
      </c>
      <c r="E14" t="s">
        <v>14</v>
      </c>
    </row>
    <row r="15" spans="2:5" ht="17.55" customHeight="1" x14ac:dyDescent="0.3">
      <c r="B15" s="4" t="s">
        <v>3</v>
      </c>
      <c r="C15" s="5">
        <v>100</v>
      </c>
      <c r="D15" s="6" t="s">
        <v>4</v>
      </c>
      <c r="E15" t="s">
        <v>6</v>
      </c>
    </row>
    <row r="16" spans="2:5" ht="17.55" customHeight="1" thickBot="1" x14ac:dyDescent="0.35">
      <c r="B16" s="7" t="s">
        <v>7</v>
      </c>
      <c r="C16" s="10">
        <v>0.01</v>
      </c>
      <c r="D16" s="9" t="s">
        <v>2</v>
      </c>
      <c r="E16" t="s">
        <v>12</v>
      </c>
    </row>
    <row r="17" spans="2:5" ht="17.55" customHeight="1" thickBot="1" x14ac:dyDescent="0.35">
      <c r="B17" s="11" t="s">
        <v>5</v>
      </c>
      <c r="C17" s="12" cm="1">
        <f t="array" ref="C17">PBSECIterateUntilUndetectable(C12,C13,C14,C15,C16)</f>
        <v>2</v>
      </c>
      <c r="D17" s="13"/>
      <c r="E17" t="s">
        <v>13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5B131-7FD3-43C3-9D42-70FECD9F6533}">
  <sheetPr codeName="Sheet4"/>
  <dimension ref="B11:E16"/>
  <sheetViews>
    <sheetView tabSelected="1" zoomScaleNormal="100" workbookViewId="0">
      <selection activeCell="G11" sqref="G11"/>
    </sheetView>
  </sheetViews>
  <sheetFormatPr defaultRowHeight="17.55" customHeight="1" x14ac:dyDescent="0.3"/>
  <cols>
    <col min="1" max="1" width="8.88671875" customWidth="1"/>
    <col min="2" max="2" width="21.21875" bestFit="1" customWidth="1"/>
    <col min="5" max="5" width="50.5546875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</row>
    <row r="13" spans="2:5" ht="17.55" customHeight="1" x14ac:dyDescent="0.35">
      <c r="B13" s="4" t="s">
        <v>9</v>
      </c>
      <c r="C13" s="5">
        <v>8</v>
      </c>
      <c r="D13" s="6" t="s">
        <v>2</v>
      </c>
    </row>
    <row r="14" spans="2:5" ht="17.55" customHeight="1" x14ac:dyDescent="0.3">
      <c r="B14" s="4" t="s">
        <v>10</v>
      </c>
      <c r="C14" s="5">
        <v>1</v>
      </c>
      <c r="D14" s="6" t="s">
        <v>2</v>
      </c>
    </row>
    <row r="15" spans="2:5" ht="17.55" customHeight="1" thickBot="1" x14ac:dyDescent="0.35">
      <c r="B15" s="7" t="s">
        <v>3</v>
      </c>
      <c r="C15" s="10">
        <v>100</v>
      </c>
      <c r="D15" s="9" t="s">
        <v>4</v>
      </c>
      <c r="E15" t="s">
        <v>6</v>
      </c>
    </row>
    <row r="16" spans="2:5" ht="17.55" customHeight="1" thickBot="1" x14ac:dyDescent="0.4">
      <c r="B16" s="7" t="s">
        <v>0</v>
      </c>
      <c r="C16" s="8">
        <f>(-C12*(C14/(C15/100))+(C14/(C15/100))*(C14/(C15/100))+C12*C13-(C14/(C15/100))*C13)/(C14/(C15/100))</f>
        <v>63</v>
      </c>
      <c r="D16" s="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</vt:lpstr>
      <vt:lpstr>IterateRounds</vt:lpstr>
      <vt:lpstr>IterateUntilUndetectable</vt:lpstr>
      <vt:lpstr>ConcToKD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Shave</dc:creator>
  <cp:lastModifiedBy>Steven Shave</cp:lastModifiedBy>
  <dcterms:created xsi:type="dcterms:W3CDTF">2021-01-25T11:22:54Z</dcterms:created>
  <dcterms:modified xsi:type="dcterms:W3CDTF">2024-01-02T16:47:20Z</dcterms:modified>
</cp:coreProperties>
</file>